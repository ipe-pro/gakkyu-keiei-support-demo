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9931\Desktop\"/>
    </mc:Choice>
  </mc:AlternateContent>
  <xr:revisionPtr revIDLastSave="0" documentId="8_{060B14F3-2A63-4552-B1E5-455A7FC515FB}" xr6:coauthVersionLast="47" xr6:coauthVersionMax="47" xr10:uidLastSave="{00000000-0000-0000-0000-000000000000}"/>
  <bookViews>
    <workbookView xWindow="-108" yWindow="-108" windowWidth="23256" windowHeight="12456" xr2:uid="{C5C50C42-887B-447B-A9EB-BFD6A0C45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1" l="1"/>
  <c r="C18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17" i="1" s="1"/>
  <c r="C20" i="1" s="1"/>
</calcChain>
</file>

<file path=xl/sharedStrings.xml><?xml version="1.0" encoding="utf-8"?>
<sst xmlns="http://schemas.openxmlformats.org/spreadsheetml/2006/main" count="75" uniqueCount="47">
  <si>
    <t>実施</t>
    <rPh sb="0" eb="2">
      <t>ジッシ</t>
    </rPh>
    <phoneticPr fontId="1"/>
  </si>
  <si>
    <t>１４日(月)</t>
    <rPh sb="2" eb="3">
      <t>ニチ</t>
    </rPh>
    <rPh sb="4" eb="5">
      <t>ゲツ</t>
    </rPh>
    <phoneticPr fontId="1"/>
  </si>
  <si>
    <t>１５日(火)</t>
    <rPh sb="2" eb="3">
      <t>ニチ</t>
    </rPh>
    <rPh sb="4" eb="5">
      <t>カ</t>
    </rPh>
    <phoneticPr fontId="1"/>
  </si>
  <si>
    <t>１６日(水)</t>
    <rPh sb="2" eb="3">
      <t>ニチ</t>
    </rPh>
    <rPh sb="4" eb="5">
      <t>スイ</t>
    </rPh>
    <phoneticPr fontId="1"/>
  </si>
  <si>
    <t>１７日(木)</t>
    <rPh sb="2" eb="3">
      <t>ニチ</t>
    </rPh>
    <rPh sb="4" eb="5">
      <t>モク</t>
    </rPh>
    <phoneticPr fontId="1"/>
  </si>
  <si>
    <t>１８日(金)</t>
    <rPh sb="2" eb="3">
      <t>ニチ</t>
    </rPh>
    <rPh sb="4" eb="5">
      <t>キン</t>
    </rPh>
    <phoneticPr fontId="1"/>
  </si>
  <si>
    <t>国語</t>
    <rPh sb="0" eb="2">
      <t>コクゴ</t>
    </rPh>
    <phoneticPr fontId="1"/>
  </si>
  <si>
    <t>予定</t>
    <rPh sb="0" eb="2">
      <t>ヨテイ</t>
    </rPh>
    <phoneticPr fontId="1"/>
  </si>
  <si>
    <t>社会</t>
    <rPh sb="0" eb="2">
      <t>シャカイ</t>
    </rPh>
    <phoneticPr fontId="1"/>
  </si>
  <si>
    <t>算数</t>
    <rPh sb="0" eb="2">
      <t>サンスウ</t>
    </rPh>
    <phoneticPr fontId="1"/>
  </si>
  <si>
    <t>理科</t>
    <rPh sb="0" eb="2">
      <t>リカ</t>
    </rPh>
    <phoneticPr fontId="1"/>
  </si>
  <si>
    <t>こくご</t>
    <phoneticPr fontId="1"/>
  </si>
  <si>
    <t>さんすう</t>
    <phoneticPr fontId="1"/>
  </si>
  <si>
    <t>おんがく</t>
    <phoneticPr fontId="1"/>
  </si>
  <si>
    <t>生活</t>
    <rPh sb="0" eb="2">
      <t>セイカツ</t>
    </rPh>
    <phoneticPr fontId="1"/>
  </si>
  <si>
    <t>やくそく</t>
    <phoneticPr fontId="1"/>
  </si>
  <si>
    <t>やくそく
おんどくげき</t>
    <phoneticPr fontId="1"/>
  </si>
  <si>
    <t>１０よりおおきいかず</t>
    <phoneticPr fontId="1"/>
  </si>
  <si>
    <t>どれみとなかよくなろう</t>
    <phoneticPr fontId="1"/>
  </si>
  <si>
    <t>音楽</t>
    <rPh sb="0" eb="2">
      <t>オンガク</t>
    </rPh>
    <phoneticPr fontId="1"/>
  </si>
  <si>
    <t>図工</t>
    <rPh sb="0" eb="2">
      <t>ズコウ</t>
    </rPh>
    <phoneticPr fontId="1"/>
  </si>
  <si>
    <t>せいかつ</t>
    <phoneticPr fontId="1"/>
  </si>
  <si>
    <t>たいいく</t>
    <phoneticPr fontId="1"/>
  </si>
  <si>
    <t>どうとく</t>
    <phoneticPr fontId="1"/>
  </si>
  <si>
    <t>家庭科</t>
    <rPh sb="0" eb="3">
      <t>カテイカ</t>
    </rPh>
    <phoneticPr fontId="1"/>
  </si>
  <si>
    <t>いきものだいすき</t>
    <phoneticPr fontId="1"/>
  </si>
  <si>
    <t>にんじゃマスター</t>
    <phoneticPr fontId="1"/>
  </si>
  <si>
    <t>やくそくテスト</t>
    <phoneticPr fontId="1"/>
  </si>
  <si>
    <t>じゃんけんぽん</t>
    <phoneticPr fontId="1"/>
  </si>
  <si>
    <t>体育</t>
    <rPh sb="0" eb="2">
      <t>タイイク</t>
    </rPh>
    <phoneticPr fontId="1"/>
  </si>
  <si>
    <t>道徳</t>
    <rPh sb="0" eb="2">
      <t>ドウトク</t>
    </rPh>
    <phoneticPr fontId="1"/>
  </si>
  <si>
    <t>ずこう</t>
    <phoneticPr fontId="1"/>
  </si>
  <si>
    <t>総合</t>
    <rPh sb="0" eb="2">
      <t>ソウゴウ</t>
    </rPh>
    <phoneticPr fontId="1"/>
  </si>
  <si>
    <t>あそぼうよパクパクさん</t>
    <phoneticPr fontId="1"/>
  </si>
  <si>
    <t>学活</t>
    <rPh sb="0" eb="2">
      <t>ガッカツ</t>
    </rPh>
    <phoneticPr fontId="1"/>
  </si>
  <si>
    <t>外国語</t>
    <rPh sb="0" eb="3">
      <t>ガイコクゴ</t>
    </rPh>
    <phoneticPr fontId="1"/>
  </si>
  <si>
    <t>がっかつ</t>
    <phoneticPr fontId="1"/>
  </si>
  <si>
    <t>小計</t>
    <rPh sb="0" eb="2">
      <t>ショウケイ</t>
    </rPh>
    <phoneticPr fontId="1"/>
  </si>
  <si>
    <t>かかりかつどう</t>
    <phoneticPr fontId="1"/>
  </si>
  <si>
    <t>カタカナれんしゅう</t>
    <phoneticPr fontId="1"/>
  </si>
  <si>
    <t>児童会</t>
    <rPh sb="0" eb="3">
      <t>ジドウカイ</t>
    </rPh>
    <phoneticPr fontId="1"/>
  </si>
  <si>
    <t>行事</t>
    <rPh sb="0" eb="2">
      <t>ギョウジ</t>
    </rPh>
    <phoneticPr fontId="1"/>
  </si>
  <si>
    <t>合計</t>
    <rPh sb="0" eb="2">
      <t>ゴウケイ</t>
    </rPh>
    <phoneticPr fontId="1"/>
  </si>
  <si>
    <t>カタカナをみつけよう</t>
    <phoneticPr fontId="1"/>
  </si>
  <si>
    <t>下校予定</t>
    <rPh sb="0" eb="2">
      <t>ゲコウ</t>
    </rPh>
    <rPh sb="2" eb="4">
      <t>ヨテイ</t>
    </rPh>
    <phoneticPr fontId="1"/>
  </si>
  <si>
    <t>持ち物</t>
    <rPh sb="0" eb="1">
      <t>モ</t>
    </rPh>
    <rPh sb="2" eb="3">
      <t>モノ</t>
    </rPh>
    <phoneticPr fontId="1"/>
  </si>
  <si>
    <t>うわばき
あかしろぼうし
きゅうしょくぎ
むしとりセット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</si>
</sst>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2"/>
      <color theme="1"/>
      <name val="UD デジタル 教科書体 N-B"/>
      <family val="1"/>
      <charset val="128"/>
    </font>
    <font>
      <sz val="8"/>
      <color theme="1"/>
      <name val="UD デジタル 教科書体 N-B"/>
      <family val="1"/>
      <charset val="128"/>
    </font>
    <font>
      <sz val="9"/>
      <color theme="1"/>
      <name val="UD デジタル 教科書体 N-B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0" fillId="0" borderId="3" xfId="0" applyBorder="1" applyAlignment="1">
      <alignment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top" shrinkToFit="1"/>
    </xf>
    <xf numFmtId="0" fontId="3" fillId="0" borderId="4" xfId="0" applyFont="1" applyBorder="1" applyAlignment="1">
      <alignment horizontal="left" vertical="top" wrapText="1" shrinkToFit="1"/>
    </xf>
    <xf numFmtId="0" fontId="0" fillId="2" borderId="5" xfId="0" applyFill="1" applyBorder="1" applyAlignment="1">
      <alignment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left" vertical="top" shrinkToFit="1"/>
    </xf>
    <xf numFmtId="0" fontId="0" fillId="0" borderId="5" xfId="0" applyBorder="1" applyAlignment="1">
      <alignment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left" vertical="top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shrinkToFit="1"/>
    </xf>
    <xf numFmtId="0" fontId="0" fillId="3" borderId="7" xfId="0" applyFill="1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3" borderId="3" xfId="0" applyFill="1" applyBorder="1" applyAlignment="1">
      <alignment vertical="center" shrinkToFit="1"/>
    </xf>
    <xf numFmtId="0" fontId="0" fillId="3" borderId="8" xfId="0" applyFill="1" applyBorder="1" applyAlignment="1">
      <alignment vertical="center" shrinkToFit="1"/>
    </xf>
    <xf numFmtId="20" fontId="5" fillId="0" borderId="5" xfId="0" applyNumberFormat="1" applyFont="1" applyBorder="1" applyAlignment="1">
      <alignment horizontal="center" vertical="top" shrinkToFit="1"/>
    </xf>
    <xf numFmtId="0" fontId="6" fillId="0" borderId="4" xfId="0" applyFont="1" applyBorder="1" applyAlignment="1">
      <alignment horizontal="left" vertical="top" wrapText="1" shrinkToFit="1"/>
    </xf>
    <xf numFmtId="0" fontId="7" fillId="0" borderId="4" xfId="0" applyFont="1" applyBorder="1" applyAlignment="1">
      <alignment horizontal="left" vertical="top" wrapText="1" shrinkToFit="1"/>
    </xf>
    <xf numFmtId="0" fontId="7" fillId="0" borderId="4" xfId="0" applyFont="1" applyBorder="1" applyAlignment="1">
      <alignment horizontal="left" vertical="top" shrinkToFit="1"/>
    </xf>
    <xf numFmtId="0" fontId="6" fillId="0" borderId="6" xfId="0" applyFont="1" applyBorder="1" applyAlignment="1">
      <alignment horizontal="left" vertical="top" shrinkToFit="1"/>
    </xf>
    <xf numFmtId="0" fontId="7" fillId="0" borderId="6" xfId="0" applyFont="1" applyBorder="1" applyAlignment="1">
      <alignment horizontal="left" vertical="top" shrinkToFit="1"/>
    </xf>
    <xf numFmtId="0" fontId="6" fillId="0" borderId="3" xfId="0" applyFont="1" applyBorder="1" applyAlignment="1">
      <alignment horizontal="left" vertical="top" shrinkToFit="1"/>
    </xf>
    <xf numFmtId="0" fontId="7" fillId="0" borderId="3" xfId="0" applyFont="1" applyBorder="1" applyAlignment="1">
      <alignment horizontal="left" vertical="top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top" shrinkToFit="1"/>
    </xf>
    <xf numFmtId="0" fontId="3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 vertical="center" textRotation="255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'1.0' encoding='UTF-8' standalone='yes'?>
<Relationships xmlns="http://schemas.openxmlformats.org/package/2006/relationships"><Relationship Id="rId3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38100</xdr:rowOff>
    </xdr:from>
    <xdr:to>
      <xdr:col>9</xdr:col>
      <xdr:colOff>1104900</xdr:colOff>
      <xdr:row>0</xdr:row>
      <xdr:rowOff>1000125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C04EF39-63F5-409B-8BA2-A03EFA30BBEB}"/>
            </a:ext>
          </a:extLst>
        </xdr:cNvPr>
        <xdr:cNvSpPr txBox="1"/>
      </xdr:nvSpPr>
      <xdr:spPr>
        <a:xfrm>
          <a:off x="5189220" y="38100"/>
          <a:ext cx="2255520" cy="9620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○○市立○○小学校</a:t>
          </a:r>
          <a:endParaRPr kumimoji="1" lang="en-US" altLang="ja-JP" sz="1100"/>
        </a:p>
        <a:p>
          <a:pPr algn="ctr"/>
          <a:r>
            <a:rPr kumimoji="1" lang="ja-JP" altLang="en-US" sz="1100"/>
            <a:t>第○学年○組　学級通信</a:t>
          </a:r>
          <a:endParaRPr kumimoji="1" lang="en-US" altLang="ja-JP" sz="1100"/>
        </a:p>
        <a:p>
          <a:pPr algn="ctr"/>
          <a:r>
            <a:rPr kumimoji="1" lang="ja-JP" altLang="en-US" sz="1100"/>
            <a:t>令和８年１０月１６日　</a:t>
          </a:r>
          <a:r>
            <a:rPr kumimoji="1" lang="en-US" altLang="ja-JP" sz="1100"/>
            <a:t>No.</a:t>
          </a:r>
          <a:r>
            <a:rPr kumimoji="1" lang="ja-JP" altLang="en-US" sz="1100"/>
            <a:t>２０</a:t>
          </a:r>
        </a:p>
      </xdr:txBody>
    </xdr:sp>
    <xdr:clientData/>
  </xdr:twoCellAnchor>
  <xdr:twoCellAnchor>
    <xdr:from>
      <xdr:col>10</xdr:col>
      <xdr:colOff>104777</xdr:colOff>
      <xdr:row>3</xdr:row>
      <xdr:rowOff>76200</xdr:rowOff>
    </xdr:from>
    <xdr:to>
      <xdr:col>12</xdr:col>
      <xdr:colOff>590550</xdr:colOff>
      <xdr:row>11</xdr:row>
      <xdr:rowOff>57150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57E7250-0932-48CF-BD23-7C21B70897DA}"/>
            </a:ext>
          </a:extLst>
        </xdr:cNvPr>
        <xdr:cNvSpPr txBox="1"/>
      </xdr:nvSpPr>
      <xdr:spPr>
        <a:xfrm>
          <a:off x="7595237" y="1409700"/>
          <a:ext cx="1857373" cy="1626870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教科名は、左の表にある</a:t>
          </a:r>
          <a:endParaRPr kumimoji="1" lang="en-US" altLang="ja-JP" sz="1100" b="1"/>
        </a:p>
        <a:p>
          <a:r>
            <a:rPr kumimoji="1" lang="ja-JP" altLang="en-US" sz="1100" b="1"/>
            <a:t>ものを入力してください。</a:t>
          </a:r>
          <a:endParaRPr kumimoji="1" lang="en-US" altLang="ja-JP" sz="1100" b="1"/>
        </a:p>
        <a:p>
          <a:r>
            <a:rPr kumimoji="1" lang="en-US" altLang="ja-JP" sz="1100" b="1"/>
            <a:t>※</a:t>
          </a:r>
          <a:r>
            <a:rPr kumimoji="1" lang="ja-JP" altLang="en-US" sz="1100" b="1"/>
            <a:t>「書写」は国語に、</a:t>
          </a:r>
          <a:endParaRPr kumimoji="1" lang="en-US" altLang="ja-JP" sz="1100" b="1"/>
        </a:p>
        <a:p>
          <a:r>
            <a:rPr kumimoji="1" lang="ja-JP" altLang="en-US" sz="1100" b="1"/>
            <a:t>　「外国語活動」は</a:t>
          </a:r>
          <a:endParaRPr kumimoji="1" lang="en-US" altLang="ja-JP" sz="1100" b="1"/>
        </a:p>
        <a:p>
          <a:r>
            <a:rPr kumimoji="1" lang="ja-JP" altLang="en-US" sz="1100" b="1"/>
            <a:t>　外国語にカウントされ</a:t>
          </a:r>
          <a:endParaRPr kumimoji="1" lang="en-US" altLang="ja-JP" sz="1100" b="1"/>
        </a:p>
        <a:p>
          <a:r>
            <a:rPr kumimoji="1" lang="ja-JP" altLang="en-US" sz="1100" b="1"/>
            <a:t>　ます。</a:t>
          </a:r>
        </a:p>
      </xdr:txBody>
    </xdr:sp>
    <xdr:clientData/>
  </xdr:twoCellAnchor>
  <xdr:twoCellAnchor>
    <xdr:from>
      <xdr:col>10</xdr:col>
      <xdr:colOff>114299</xdr:colOff>
      <xdr:row>0</xdr:row>
      <xdr:rowOff>104776</xdr:rowOff>
    </xdr:from>
    <xdr:to>
      <xdr:col>13</xdr:col>
      <xdr:colOff>28575</xdr:colOff>
      <xdr:row>2</xdr:row>
      <xdr:rowOff>171451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F096585B-4663-4074-BB5D-A025B26D5A27}"/>
            </a:ext>
          </a:extLst>
        </xdr:cNvPr>
        <xdr:cNvSpPr txBox="1"/>
      </xdr:nvSpPr>
      <xdr:spPr>
        <a:xfrm>
          <a:off x="7604759" y="104776"/>
          <a:ext cx="1971676" cy="1194435"/>
        </a:xfrm>
        <a:prstGeom prst="rect">
          <a:avLst/>
        </a:prstGeom>
        <a:solidFill>
          <a:srgbClr val="FFFF99"/>
        </a:solidFill>
        <a:ln w="2857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●１つのセル（枠）の中で</a:t>
          </a:r>
          <a:endParaRPr kumimoji="1" lang="en-US" altLang="ja-JP" sz="1100" b="1"/>
        </a:p>
        <a:p>
          <a:r>
            <a:rPr kumimoji="1" lang="ja-JP" altLang="en-US" sz="1100" b="1"/>
            <a:t>　行がえをしたいときは、</a:t>
          </a:r>
          <a:endParaRPr kumimoji="1" lang="en-US" altLang="ja-JP" sz="1100" b="1"/>
        </a:p>
        <a:p>
          <a:r>
            <a:rPr kumimoji="1" lang="ja-JP" altLang="en-US" sz="1100" b="1"/>
            <a:t>　「</a:t>
          </a:r>
          <a:r>
            <a:rPr kumimoji="1" lang="en-US" altLang="ja-JP" sz="1100" b="1"/>
            <a:t>alt</a:t>
          </a:r>
          <a:r>
            <a:rPr kumimoji="1" lang="ja-JP" altLang="en-US" sz="1100" b="1"/>
            <a:t>」と「</a:t>
          </a:r>
          <a:r>
            <a:rPr kumimoji="1" lang="en-US" altLang="ja-JP" sz="1100" b="1"/>
            <a:t>enter</a:t>
          </a:r>
          <a:r>
            <a:rPr kumimoji="1" lang="ja-JP" altLang="en-US" sz="1100" b="1"/>
            <a:t>」を押し</a:t>
          </a:r>
          <a:endParaRPr kumimoji="1" lang="en-US" altLang="ja-JP" sz="1100" b="1"/>
        </a:p>
        <a:p>
          <a:r>
            <a:rPr kumimoji="1" lang="ja-JP" altLang="en-US" sz="1100" b="1"/>
            <a:t>　ます。</a:t>
          </a:r>
        </a:p>
      </xdr:txBody>
    </xdr:sp>
    <xdr:clientData/>
  </xdr:twoCellAnchor>
  <xdr:twoCellAnchor>
    <xdr:from>
      <xdr:col>4</xdr:col>
      <xdr:colOff>63864</xdr:colOff>
      <xdr:row>28</xdr:row>
      <xdr:rowOff>18506</xdr:rowOff>
    </xdr:from>
    <xdr:to>
      <xdr:col>8</xdr:col>
      <xdr:colOff>300084</xdr:colOff>
      <xdr:row>29</xdr:row>
      <xdr:rowOff>1468846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C45422C-00D5-4144-BA87-0F0669217ED0}"/>
            </a:ext>
          </a:extLst>
        </xdr:cNvPr>
        <xdr:cNvSpPr txBox="1"/>
      </xdr:nvSpPr>
      <xdr:spPr>
        <a:xfrm>
          <a:off x="1237344" y="5878286"/>
          <a:ext cx="4251960" cy="1579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(ここに、今週のようすを入れてください)</a:t>
          </a:r>
        </a:p>
      </xdr:txBody>
    </xdr:sp>
    <xdr:clientData/>
  </xdr:twoCellAnchor>
  <xdr:twoCellAnchor>
    <xdr:from>
      <xdr:col>4</xdr:col>
      <xdr:colOff>80554</xdr:colOff>
      <xdr:row>29</xdr:row>
      <xdr:rowOff>1179287</xdr:rowOff>
    </xdr:from>
    <xdr:to>
      <xdr:col>9</xdr:col>
      <xdr:colOff>1094014</xdr:colOff>
      <xdr:row>29</xdr:row>
      <xdr:rowOff>2966357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B3BBE36-140D-4AE3-96B6-53728A8B53D4}"/>
            </a:ext>
          </a:extLst>
        </xdr:cNvPr>
        <xdr:cNvSpPr txBox="1"/>
      </xdr:nvSpPr>
      <xdr:spPr>
        <a:xfrm>
          <a:off x="1254034" y="7168607"/>
          <a:ext cx="6179820" cy="1787070"/>
        </a:xfrm>
        <a:prstGeom prst="rect">
          <a:avLst/>
        </a:prstGeom>
        <a:noFill/>
        <a:ln w="9525" cmpd="sng">
          <a:solidFill>
            <a:schemeClr val="tx1"/>
          </a:solidFill>
          <a:prstDash val="dash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solidFill>
                <a:schemeClr val="dk1"/>
              </a:solidFill>
              <a:effectLst/>
              <a:latin typeface="UD デジタル 教科書体 N-B" panose="02020700000000000000" pitchFamily="17" charset="-128"/>
              <a:ea typeface="UD デジタル 教科書体 N-B" panose="02020700000000000000" pitchFamily="17" charset="-128"/>
              <a:cs typeface="+mn-cs"/>
            </a:rPr>
            <a:t>(ここに、お知らせを入れてください)</a:t>
          </a:r>
        </a:p>
      </xdr:txBody>
    </xdr:sp>
    <xdr:clientData/>
  </xdr:twoCellAnchor>
  <xdr:twoCellAnchor editAs="oneCell">
    <xdr:from>
      <xdr:col>5</xdr:col>
      <xdr:colOff>121920</xdr:colOff>
      <xdr:row>0</xdr:row>
      <xdr:rowOff>53340</xdr:rowOff>
    </xdr:from>
    <xdr:to>
      <xdr:col>7</xdr:col>
      <xdr:colOff>466713</xdr:colOff>
      <xdr:row>4</xdr:row>
      <xdr:rowOff>104034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F3505AE-177E-47F3-AE7E-D125ED962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9280" y="53340"/>
          <a:ext cx="2585073" cy="995574"/>
        </a:xfrm>
        <a:prstGeom prst="rect">
          <a:avLst/>
        </a:prstGeom>
      </xdr:spPr>
    </xdr:pic>
    <xdr:clientData/>
  </xdr:twoCellAnchor>
  <xdr:twoCellAnchor editAs="oneCell">
    <xdr:from>
      <xdr:col>7</xdr:col>
      <xdr:colOff>169636</xdr:colOff>
      <xdr:row>18</xdr:row>
      <xdr:rowOff>38101</xdr:rowOff>
    </xdr:from>
    <xdr:to>
      <xdr:col>7</xdr:col>
      <xdr:colOff>1030695</xdr:colOff>
      <xdr:row>20</xdr:row>
      <xdr:rowOff>124089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F64F4AC-157D-4FCE-85C7-52D1D9A4A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8236" y="4457701"/>
          <a:ext cx="845819" cy="573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FB91-81DE-4590-B0FB-342B9EB123D6}">
  <dimension ref="B1:J30"/>
  <sheetViews>
    <sheetView tabSelected="1" workbookViewId="0">
      <selection sqref="A1:XFD1048576"/>
    </sheetView>
  </sheetViews>
  <sheetFormatPr defaultColWidth="9" defaultRowHeight="18" x14ac:dyDescent="0.45"/>
  <cols>
    <col min="1" max="1" width="1.59765625" style="1" customWidth="1"/>
    <col min="2" max="3" width="6.09765625" style="1" customWidth="1"/>
    <col min="4" max="4" width="1.59765625" style="1" customWidth="1"/>
    <col min="5" max="5" width="7.3984375" style="33" customWidth="1"/>
    <col min="6" max="10" width="15.09765625" style="33" customWidth="1"/>
    <col min="11" max="16384" width="9" style="1"/>
  </cols>
  <sheetData>
    <row r="1" spans="2:10" ht="81" customHeight="1" x14ac:dyDescent="0.45">
      <c r="E1" s="2"/>
      <c r="F1" s="2"/>
      <c r="G1" s="2"/>
      <c r="H1" s="2"/>
      <c r="I1" s="2"/>
      <c r="J1" s="2"/>
    </row>
    <row r="2" spans="2:10" ht="8.25" customHeight="1" x14ac:dyDescent="0.45">
      <c r="E2" s="3"/>
      <c r="F2" s="3"/>
      <c r="G2" s="3"/>
      <c r="H2" s="3"/>
      <c r="I2" s="3"/>
      <c r="J2" s="3"/>
    </row>
    <row r="3" spans="2:10" ht="18.600000000000001" thickBot="1" x14ac:dyDescent="0.5">
      <c r="B3" s="4"/>
      <c r="C3" s="5" t="s">
        <v>0</v>
      </c>
      <c r="E3" s="6"/>
      <c r="F3" s="6" t="s">
        <v>1</v>
      </c>
      <c r="G3" s="6" t="s">
        <v>2</v>
      </c>
      <c r="H3" s="6" t="s">
        <v>3</v>
      </c>
      <c r="I3" s="6" t="s">
        <v>4</v>
      </c>
      <c r="J3" s="6" t="s">
        <v>5</v>
      </c>
    </row>
    <row r="4" spans="2:10" ht="16.5" customHeight="1" thickTop="1" x14ac:dyDescent="0.45">
      <c r="B4" s="7" t="s">
        <v>6</v>
      </c>
      <c r="C4" s="7">
        <f>COUNTIFS(F7:J7,"こくご")+COUNTIFS(F7:J7,"しょしゃ")+COUNTIFS(F10:J10,"こくご")+COUNTIFS(F10:J10,"しょしゃ")+COUNTIFS(F13:J13,"こくご")+COUNTIFS(F13:J13,"しょしゃ")+COUNTIFS(F16:J16,"こくご")+COUNTIFS(F16:J16,"しょしゃ")+COUNTIFS(F19:J19,"こくご")+COUNTIFS(F19:J19,"しょしゃ")+COUNTIFS(F22:J22,"こくご")+COUNTIFS(F22:J22,"しょしゃ")</f>
        <v>0</v>
      </c>
      <c r="E4" s="8" t="s">
        <v>7</v>
      </c>
      <c r="F4" s="35"/>
      <c r="G4" s="35"/>
      <c r="H4" s="35"/>
      <c r="I4" s="35"/>
      <c r="J4" s="35"/>
    </row>
    <row r="5" spans="2:10" ht="16.5" customHeight="1" x14ac:dyDescent="0.45">
      <c r="B5" s="11" t="s">
        <v>8</v>
      </c>
      <c r="C5" s="7">
        <f>COUNTIFS(F7:J7,"社会")+COUNTIFS(F10:J10,"社会")+COUNTIFS(F13:J13,"社会")+COUNTIFS(F16:J16,"社会")+COUNTIFS(F19:J19,"社会")+COUNTIFS(F22:J22,"社会")</f>
        <v>0</v>
      </c>
      <c r="E5" s="12"/>
      <c r="F5" s="13"/>
      <c r="G5" s="13"/>
      <c r="H5" s="13"/>
      <c r="I5" s="13"/>
      <c r="J5" s="13"/>
    </row>
    <row r="6" spans="2:10" ht="16.5" customHeight="1" x14ac:dyDescent="0.45">
      <c r="B6" s="14" t="s">
        <v>9</v>
      </c>
      <c r="C6" s="7">
        <f>COUNTIFS(F7:J7,"さんすう")+COUNTIFS(F10:J10,"さんすう")+COUNTIFS(F13:J13,"さんすう")+COUNTIFS(F16:J16,"さんすう")+COUNTIFS(F19:J19,"さんすう")+COUNTIFS(F22:J22,"さんすう")</f>
        <v>0</v>
      </c>
      <c r="E6" s="15"/>
      <c r="F6" s="16"/>
      <c r="G6" s="16"/>
      <c r="H6" s="16"/>
      <c r="I6" s="16"/>
      <c r="J6" s="16"/>
    </row>
    <row r="7" spans="2:10" ht="16.5" customHeight="1" x14ac:dyDescent="0.45">
      <c r="B7" s="11" t="s">
        <v>10</v>
      </c>
      <c r="C7" s="7">
        <f>COUNTIFS(F7:J7,"理科")+COUNTIFS(F10:J10,"理科")+COUNTIFS(F13:J13,"理科")+COUNTIFS(F16:J16,"理科")+COUNTIFS(F19:J19,"理科")+COUNTIFS(F22:J22,"理科")</f>
        <v>0</v>
      </c>
      <c r="E7" s="8">
        <v>1</v>
      </c>
      <c r="F7" s="17"/>
      <c r="G7" s="17"/>
      <c r="H7" s="17"/>
      <c r="I7" s="17"/>
      <c r="J7" s="17"/>
    </row>
    <row r="8" spans="2:10" ht="16.5" customHeight="1" x14ac:dyDescent="0.45">
      <c r="B8" s="14" t="s">
        <v>14</v>
      </c>
      <c r="C8" s="7">
        <f>COUNTIFS(F7:J7,"せいかつ")+COUNTIFS(F10:J10,"せいかつ")+COUNTIFS(F13:J13,"せいかつ")+COUNTIFS(F16:J16,"せいかつ")+COUNTIFS(F19:J19,"せいかつ")+COUNTIFS(F22:J22,"せいかつ")</f>
        <v>0</v>
      </c>
      <c r="E8" s="12"/>
      <c r="F8" s="8"/>
      <c r="G8" s="8"/>
      <c r="H8" s="8"/>
      <c r="I8" s="8"/>
      <c r="J8" s="8"/>
    </row>
    <row r="9" spans="2:10" ht="16.5" customHeight="1" x14ac:dyDescent="0.45">
      <c r="B9" s="14" t="s">
        <v>19</v>
      </c>
      <c r="C9" s="7">
        <f>COUNTIFS(F7:J7,"おんがく")+COUNTIFS(F10:J10,"おんがく")+COUNTIFS(F13:J13,"おんがく")+COUNTIFS(F16:J16,"おんがく")+COUNTIFS(F19:J19,"おんがく")+COUNTIFS(F22:J22,"おんがく")</f>
        <v>0</v>
      </c>
      <c r="E9" s="15"/>
      <c r="F9" s="15"/>
      <c r="G9" s="15"/>
      <c r="H9" s="15"/>
      <c r="I9" s="15"/>
      <c r="J9" s="15"/>
    </row>
    <row r="10" spans="2:10" ht="16.5" customHeight="1" x14ac:dyDescent="0.45">
      <c r="B10" s="14" t="s">
        <v>20</v>
      </c>
      <c r="C10" s="7">
        <f>COUNTIFS(F7:J7,"ずこう")+COUNTIFS(F10:J10,"ずこう")+COUNTIFS(F13:J13,"ずこう")+COUNTIFS(F16:J16,"ずこう")+COUNTIFS(F19:J19,"ずこう")+COUNTIFS(F22:J22,"すこう")</f>
        <v>0</v>
      </c>
      <c r="E10" s="8">
        <v>2</v>
      </c>
      <c r="F10" s="17"/>
      <c r="G10" s="17"/>
      <c r="H10" s="17"/>
      <c r="I10" s="17"/>
      <c r="J10" s="17"/>
    </row>
    <row r="11" spans="2:10" ht="16.5" customHeight="1" x14ac:dyDescent="0.45">
      <c r="B11" s="11" t="s">
        <v>24</v>
      </c>
      <c r="C11" s="7">
        <f>COUNTIFS(F7:J7,"家庭科")+COUNTIFS(F10:J10,"家庭科")+COUNTIFS(F13:J13,"家庭科")+COUNTIFS(F16:J16,"家庭科")+COUNTIFS(F19:J19,"家庭科")+COUNTIFS(F22:J22,"家庭科")</f>
        <v>0</v>
      </c>
      <c r="E11" s="12"/>
      <c r="F11" s="8"/>
      <c r="G11" s="8"/>
      <c r="H11" s="8"/>
      <c r="I11" s="8"/>
      <c r="J11" s="8"/>
    </row>
    <row r="12" spans="2:10" ht="16.5" customHeight="1" x14ac:dyDescent="0.45">
      <c r="B12" s="14" t="s">
        <v>29</v>
      </c>
      <c r="C12" s="7">
        <f>COUNTIFS(F7:J7,"たいいく")+COUNTIFS(F10:J10,"たいいく")+COUNTIFS(F13:J13,"たいいく")+COUNTIFS(F16:J16,"たいいく")+COUNTIFS(F19:J19,"たいいく")+COUNTIFS(F22:J22,"たいいく")</f>
        <v>0</v>
      </c>
      <c r="E12" s="15"/>
      <c r="F12" s="15"/>
      <c r="G12" s="15"/>
      <c r="H12" s="15"/>
      <c r="I12" s="20"/>
      <c r="J12" s="15"/>
    </row>
    <row r="13" spans="2:10" ht="16.5" customHeight="1" x14ac:dyDescent="0.45">
      <c r="B13" s="14" t="s">
        <v>30</v>
      </c>
      <c r="C13" s="7">
        <f>COUNTIFS(F7:J7,"どうとく")+COUNTIFS(F10:J10,"どうとく")+COUNTIFS(F13:J13,"どうとく")+COUNTIFS(F16:J16,"どうとく")+COUNTIFS(F19:J19,"どうとく")+COUNTIFS(F22:J22,"どうとく")</f>
        <v>0</v>
      </c>
      <c r="E13" s="8">
        <v>3</v>
      </c>
      <c r="F13" s="17"/>
      <c r="G13" s="17"/>
      <c r="H13" s="17"/>
      <c r="I13" s="17"/>
      <c r="J13" s="17"/>
    </row>
    <row r="14" spans="2:10" ht="16.5" customHeight="1" x14ac:dyDescent="0.45">
      <c r="B14" s="11" t="s">
        <v>32</v>
      </c>
      <c r="C14" s="7">
        <f>COUNTIFS(F7:J7,"総合")+COUNTIFS(F10:J10,"総合")+COUNTIFS(F13:J13,"総合")+COUNTIFS(F16:J16,"総合")+COUNTIFS(F19:J19,"総合")+COUNTIFS(F22:J22,"総合")</f>
        <v>0</v>
      </c>
      <c r="E14" s="12"/>
      <c r="F14" s="8"/>
      <c r="G14" s="8"/>
      <c r="H14" s="8"/>
      <c r="I14" s="8"/>
      <c r="J14" s="8"/>
    </row>
    <row r="15" spans="2:10" ht="16.5" customHeight="1" x14ac:dyDescent="0.45">
      <c r="B15" s="14" t="s">
        <v>34</v>
      </c>
      <c r="C15" s="7">
        <f>COUNTIFS(F7:J7,"学かつ")+COUNTIFS(F10:J10,"学かつ")+COUNTIFS(F13:J13,"学かつ")+COUNTIFS(F16:J16,"学かつ")+COUNTIFS(F19:J19,"学かつ")+COUNTIFS(F22:J22,"学かつ")</f>
        <v>0</v>
      </c>
      <c r="E15" s="15"/>
      <c r="F15" s="15"/>
      <c r="G15" s="15"/>
      <c r="H15" s="15"/>
      <c r="I15" s="15"/>
      <c r="J15" s="15"/>
    </row>
    <row r="16" spans="2:10" ht="18.600000000000001" thickBot="1" x14ac:dyDescent="0.5">
      <c r="B16" s="4" t="s">
        <v>35</v>
      </c>
      <c r="C16" s="7">
        <f>COUNTIFS(F7:J7,"外国語")+COUNTIFS(F7:J7,"外国語活動")+COUNTIFS(F10:J10,"外国語")+COUNTIFS(F10:J10,"外国語活動")+COUNTIFS(F13:J13,"外国語")+COUNTIFS(F13:J13,"外国語活動")+COUNTIFS(F16:J16,"外国語")+COUNTIFS(F16:J16,"外国語活動")+COUNTIFS(F19:J19,"外国語")+COUNTIFS(F19:J19,"外国語活動")+COUNTIFS(F22:J22,"外国語")+COUNTIFS(F22:J22,"外国語活動")</f>
        <v>0</v>
      </c>
      <c r="E16" s="8">
        <v>4</v>
      </c>
      <c r="F16" s="17"/>
      <c r="G16" s="17"/>
      <c r="H16" s="17"/>
      <c r="I16" s="17"/>
      <c r="J16" s="17"/>
    </row>
    <row r="17" spans="2:10" ht="19.2" thickTop="1" thickBot="1" x14ac:dyDescent="0.5">
      <c r="B17" s="21" t="s">
        <v>37</v>
      </c>
      <c r="C17" s="21">
        <f>SUM(C4:C16)</f>
        <v>0</v>
      </c>
      <c r="E17" s="12"/>
      <c r="F17" s="8"/>
      <c r="G17" s="8"/>
      <c r="H17" s="8"/>
      <c r="I17" s="8"/>
      <c r="J17" s="8"/>
    </row>
    <row r="18" spans="2:10" ht="16.5" customHeight="1" thickTop="1" x14ac:dyDescent="0.45">
      <c r="B18" s="7" t="s">
        <v>40</v>
      </c>
      <c r="C18" s="7">
        <f>COUNTIFS(F7:J7,"じどうかい")+COUNTIFS(F10:J10,"じどうかい")+COUNTIFS(F13:J13,"じどうかい")+COUNTIFS(F16:J16,"じどうかい")+COUNTIFS(F19:J19,"じどうかい")+COUNTIFS(F22:J22,"じどうかい")</f>
        <v>0</v>
      </c>
      <c r="E18" s="15"/>
      <c r="F18" s="15"/>
      <c r="G18" s="15"/>
      <c r="H18" s="15"/>
      <c r="I18" s="15"/>
      <c r="J18" s="15"/>
    </row>
    <row r="19" spans="2:10" ht="18.600000000000001" thickBot="1" x14ac:dyDescent="0.5">
      <c r="B19" s="4" t="s">
        <v>41</v>
      </c>
      <c r="C19" s="22">
        <f>COUNTIFS(F7:J7,"ぎょうじ")+COUNTIFS(F10:J10,"じょうじ")+COUNTIFS(F13:J13,"ぎょうじ")+COUNTIFS(F16:J16,"ぎょうじ")+COUNTIFS(F19:J19,"ぎょうじ")+COUNTIFS(F22:J22,"ぎょうじ")</f>
        <v>0</v>
      </c>
      <c r="E19" s="8">
        <v>5</v>
      </c>
      <c r="F19" s="17"/>
      <c r="G19" s="17"/>
      <c r="H19" s="17"/>
      <c r="I19" s="17"/>
      <c r="J19" s="17"/>
    </row>
    <row r="20" spans="2:10" ht="16.5" customHeight="1" thickTop="1" x14ac:dyDescent="0.45">
      <c r="B20" s="23" t="s">
        <v>42</v>
      </c>
      <c r="C20" s="24">
        <f t="shared" ref="C20" si="0">SUM(C17:C19)</f>
        <v>0</v>
      </c>
      <c r="E20" s="12"/>
      <c r="F20" s="8"/>
      <c r="G20" s="8"/>
      <c r="H20" s="8"/>
      <c r="I20" s="8"/>
      <c r="J20" s="8"/>
    </row>
    <row r="21" spans="2:10" ht="16.5" customHeight="1" x14ac:dyDescent="0.45">
      <c r="E21" s="15"/>
      <c r="F21" s="15"/>
      <c r="G21" s="15"/>
      <c r="H21" s="15"/>
      <c r="I21" s="15"/>
      <c r="J21" s="15"/>
    </row>
    <row r="22" spans="2:10" ht="16.5" hidden="1" customHeight="1" x14ac:dyDescent="0.45">
      <c r="E22" s="8">
        <v>6</v>
      </c>
      <c r="F22" s="17"/>
      <c r="G22" s="17"/>
      <c r="H22" s="17"/>
      <c r="I22" s="17"/>
      <c r="J22" s="17"/>
    </row>
    <row r="23" spans="2:10" ht="16.5" hidden="1" customHeight="1" x14ac:dyDescent="0.45">
      <c r="E23" s="12"/>
      <c r="F23" s="8"/>
      <c r="G23" s="8"/>
      <c r="H23" s="8"/>
      <c r="I23" s="8"/>
      <c r="J23" s="8"/>
    </row>
    <row r="24" spans="2:10" ht="16.5" hidden="1" customHeight="1" x14ac:dyDescent="0.45">
      <c r="E24" s="15"/>
      <c r="F24" s="15"/>
      <c r="G24" s="15"/>
      <c r="H24" s="15"/>
      <c r="I24" s="15"/>
      <c r="J24" s="15"/>
    </row>
    <row r="25" spans="2:10" ht="16.5" customHeight="1" x14ac:dyDescent="0.45">
      <c r="E25" s="17" t="s">
        <v>44</v>
      </c>
      <c r="F25" s="25"/>
      <c r="G25" s="25"/>
      <c r="H25" s="25"/>
      <c r="I25" s="25"/>
      <c r="J25" s="25"/>
    </row>
    <row r="26" spans="2:10" ht="16.5" customHeight="1" x14ac:dyDescent="0.45">
      <c r="E26" s="8" t="s">
        <v>45</v>
      </c>
      <c r="F26" s="26"/>
      <c r="G26" s="26"/>
      <c r="H26" s="26"/>
      <c r="I26" s="26"/>
      <c r="J26" s="26"/>
    </row>
    <row r="27" spans="2:10" ht="16.5" customHeight="1" x14ac:dyDescent="0.45">
      <c r="E27" s="12"/>
      <c r="F27" s="29"/>
      <c r="G27" s="30"/>
      <c r="H27" s="30"/>
      <c r="I27" s="30"/>
      <c r="J27" s="30"/>
    </row>
    <row r="28" spans="2:10" ht="16.5" customHeight="1" x14ac:dyDescent="0.45">
      <c r="E28" s="15"/>
      <c r="F28" s="31"/>
      <c r="G28" s="32"/>
      <c r="H28" s="32"/>
      <c r="I28" s="32"/>
      <c r="J28" s="32"/>
    </row>
    <row r="29" spans="2:10" ht="10.5" customHeight="1" x14ac:dyDescent="0.45"/>
    <row r="30" spans="2:10" ht="238.5" customHeight="1" x14ac:dyDescent="0.45">
      <c r="E30" s="34"/>
      <c r="F30" s="34"/>
      <c r="G30" s="34"/>
      <c r="H30" s="34"/>
      <c r="I30" s="34"/>
      <c r="J30" s="34"/>
    </row>
  </sheetData>
  <mergeCells count="50">
    <mergeCell ref="E30:J30"/>
    <mergeCell ref="E26:E28"/>
    <mergeCell ref="F26:F28"/>
    <mergeCell ref="G26:G28"/>
    <mergeCell ref="H26:H28"/>
    <mergeCell ref="I26:I28"/>
    <mergeCell ref="J26:J28"/>
    <mergeCell ref="E22:E24"/>
    <mergeCell ref="F23:F24"/>
    <mergeCell ref="G23:G24"/>
    <mergeCell ref="H23:H24"/>
    <mergeCell ref="I23:I24"/>
    <mergeCell ref="J23:J24"/>
    <mergeCell ref="E19:E21"/>
    <mergeCell ref="F20:F21"/>
    <mergeCell ref="G20:G21"/>
    <mergeCell ref="H20:H21"/>
    <mergeCell ref="I20:I21"/>
    <mergeCell ref="J20:J21"/>
    <mergeCell ref="E16:E18"/>
    <mergeCell ref="F17:F18"/>
    <mergeCell ref="G17:G18"/>
    <mergeCell ref="H17:H18"/>
    <mergeCell ref="I17:I18"/>
    <mergeCell ref="J17:J18"/>
    <mergeCell ref="E13:E15"/>
    <mergeCell ref="F14:F15"/>
    <mergeCell ref="G14:G15"/>
    <mergeCell ref="H14:H15"/>
    <mergeCell ref="I14:I15"/>
    <mergeCell ref="J14:J15"/>
    <mergeCell ref="E10:E12"/>
    <mergeCell ref="F11:F12"/>
    <mergeCell ref="G11:G12"/>
    <mergeCell ref="H11:H12"/>
    <mergeCell ref="I11:I12"/>
    <mergeCell ref="J11:J12"/>
    <mergeCell ref="E7:E9"/>
    <mergeCell ref="F8:F9"/>
    <mergeCell ref="G8:G9"/>
    <mergeCell ref="H8:H9"/>
    <mergeCell ref="I8:I9"/>
    <mergeCell ref="J8:J9"/>
    <mergeCell ref="E1:J1"/>
    <mergeCell ref="E4:E6"/>
    <mergeCell ref="F4:F6"/>
    <mergeCell ref="G4:G6"/>
    <mergeCell ref="H4:H6"/>
    <mergeCell ref="I4:I6"/>
    <mergeCell ref="J4:J6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学級経営サポート</dc:creator>
  <cp:lastModifiedBy>学級経営サポート</cp:lastModifiedBy>
  <dcterms:created xsi:type="dcterms:W3CDTF">2026-09-24T09:40:31Z</dcterms:created>
  <dcterms:modified xsi:type="dcterms:W3CDTF">2026-09-24T09:40:43Z</dcterms:modified>
</cp:coreProperties>
</file>